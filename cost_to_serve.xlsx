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ée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Canales" sheetId="3" state="visible" r:id="rId3"/>
    <sheet xmlns:r="http://schemas.openxmlformats.org/officeDocument/2006/relationships" name="Modelo" sheetId="4" state="visible" r:id="rId4"/>
    <sheet xmlns:r="http://schemas.openxmlformats.org/officeDocument/2006/relationships" name="Waterfall" sheetId="5" state="visible" r:id="rId5"/>
    <sheet xmlns:r="http://schemas.openxmlformats.org/officeDocument/2006/relationships" name="Gráfic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;($#,##0);-"/>
  </numFmts>
  <fonts count="10">
    <font>
      <name val="Calibri"/>
      <family val="2"/>
      <color theme="1"/>
      <sz val="11"/>
      <scheme val="minor"/>
    </font>
    <font>
      <name val="Arial"/>
      <b val="1"/>
      <color rgb="00051C2C"/>
      <sz val="16"/>
    </font>
    <font>
      <name val="Arial"/>
      <i val="1"/>
      <color rgb="005B6A75"/>
      <sz val="9"/>
    </font>
    <font>
      <name val="Arial"/>
      <b val="1"/>
      <color rgb="00051C2C"/>
      <sz val="10"/>
    </font>
    <font>
      <name val="Arial"/>
      <color rgb="00051C2C"/>
      <sz val="10"/>
    </font>
    <font>
      <name val="Arial"/>
      <b val="1"/>
      <color rgb="000000FF"/>
      <sz val="10"/>
    </font>
    <font>
      <name val="Arial"/>
      <b val="1"/>
      <color rgb="00FFFFFF"/>
      <sz val="10"/>
    </font>
    <font>
      <name val="Arial"/>
      <color rgb="00008000"/>
      <sz val="10"/>
    </font>
    <font>
      <name val="Arial"/>
      <color rgb="00000000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EEF2F6"/>
      </patternFill>
    </fill>
    <fill>
      <patternFill patternType="solid">
        <fgColor rgb="00FFFF00"/>
      </patternFill>
    </fill>
    <fill>
      <patternFill patternType="solid">
        <fgColor rgb="00051C2C"/>
      </patternFill>
    </fill>
  </fills>
  <borders count="2">
    <border>
      <left/>
      <right/>
      <top/>
      <bottom/>
      <diagonal/>
    </border>
    <border>
      <left style="thin">
        <color rgb="00D9E1E7"/>
      </left>
      <right style="thin">
        <color rgb="00D9E1E7"/>
      </right>
      <top style="thin">
        <color rgb="00D9E1E7"/>
      </top>
      <bottom style="thin">
        <color rgb="00D9E1E7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3" fontId="5" fillId="3" borderId="1" pivotButton="0" quotePrefix="0" xfId="0"/>
    <xf numFmtId="164" fontId="5" fillId="3" borderId="1" pivotButton="0" quotePrefix="0" xfId="0"/>
    <xf numFmtId="0" fontId="6" fillId="4" borderId="0" applyAlignment="1" pivotButton="0" quotePrefix="0" xfId="0">
      <alignment vertical="center" wrapText="1"/>
    </xf>
    <xf numFmtId="0" fontId="3" fillId="0" borderId="1" pivotButton="0" quotePrefix="0" xfId="0"/>
    <xf numFmtId="2" fontId="5" fillId="3" borderId="1" pivotButton="0" quotePrefix="0" xfId="0"/>
    <xf numFmtId="0" fontId="2" fillId="0" borderId="1" pivotButton="0" quotePrefix="0" xfId="0"/>
    <xf numFmtId="0" fontId="7" fillId="0" borderId="1" pivotButton="0" quotePrefix="0" xfId="0"/>
    <xf numFmtId="164" fontId="8" fillId="0" borderId="1" pivotButton="0" quotePrefix="0" xfId="0"/>
    <xf numFmtId="165" fontId="8" fillId="0" borderId="1" pivotButton="0" quotePrefix="0" xfId="0"/>
    <xf numFmtId="0" fontId="9" fillId="2" borderId="1" pivotButton="0" quotePrefix="0" xfId="0"/>
    <xf numFmtId="164" fontId="9" fillId="2" borderId="1" pivotButton="0" quotePrefix="0" xfId="0"/>
    <xf numFmtId="165" fontId="9" fillId="2" borderId="1" pivotButton="0" quotePrefix="0" xfId="0"/>
    <xf numFmtId="0" fontId="6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Del precio de lista al margen neto (CLP/caja)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'Waterfall'!C5</f>
            </strRef>
          </tx>
          <spPr>
            <a:noFill xmlns:a="http://schemas.openxmlformats.org/drawingml/2006/main"/>
            <a:ln xmlns:a="http://schemas.openxmlformats.org/drawingml/2006/main">
              <a:prstDash val="solid"/>
            </a:ln>
          </spPr>
          <cat>
            <numRef>
              <f>'Waterfall'!$B$6:$B$17</f>
            </numRef>
          </cat>
          <val>
            <numRef>
              <f>'Waterfall'!$C$6:$C$17</f>
            </numRef>
          </val>
        </ser>
        <ser>
          <idx val="1"/>
          <order val="1"/>
          <tx>
            <strRef>
              <f>'Waterfall'!D5</f>
            </strRef>
          </tx>
          <spPr>
            <a:solidFill xmlns:a="http://schemas.openxmlformats.org/drawingml/2006/main">
              <a:srgbClr val="5B6A75"/>
            </a:solidFill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051C2C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8C9BA5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5B6A75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00A9F4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2251FF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C5CED4"/>
              </a:solidFill>
              <a:ln xmlns:a="http://schemas.openxmlformats.org/drawingml/2006/main"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051C2C"/>
              </a:solidFill>
              <a:ln xmlns:a="http://schemas.openxmlformats.org/drawingml/2006/main"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F5A623"/>
              </a:solidFill>
              <a:ln xmlns:a="http://schemas.openxmlformats.org/drawingml/2006/main">
                <a:prstDash val="solid"/>
              </a:ln>
            </spPr>
          </dPt>
          <dPt>
            <idx val="8"/>
            <spPr>
              <a:solidFill xmlns:a="http://schemas.openxmlformats.org/drawingml/2006/main">
                <a:srgbClr val="AA63E0"/>
              </a:solidFill>
              <a:ln xmlns:a="http://schemas.openxmlformats.org/drawingml/2006/main">
                <a:prstDash val="solid"/>
              </a:ln>
            </spPr>
          </dPt>
          <dPt>
            <idx val="9"/>
            <spPr>
              <a:solidFill xmlns:a="http://schemas.openxmlformats.org/drawingml/2006/main">
                <a:srgbClr val="E5546C"/>
              </a:solidFill>
              <a:ln xmlns:a="http://schemas.openxmlformats.org/drawingml/2006/main">
                <a:prstDash val="solid"/>
              </a:ln>
            </spPr>
          </dPt>
          <dPt>
            <idx val="10"/>
            <spPr>
              <a:solidFill xmlns:a="http://schemas.openxmlformats.org/drawingml/2006/main">
                <a:srgbClr val="C5CED4"/>
              </a:solidFill>
              <a:ln xmlns:a="http://schemas.openxmlformats.org/drawingml/2006/main">
                <a:prstDash val="solid"/>
              </a:ln>
            </spPr>
          </dPt>
          <dPt>
            <idx val="11"/>
            <spPr>
              <a:solidFill xmlns:a="http://schemas.openxmlformats.org/drawingml/2006/main">
                <a:srgbClr val="00B8A2"/>
              </a:solidFill>
              <a:ln xmlns:a="http://schemas.openxmlformats.org/drawingml/2006/main">
                <a:prstDash val="solid"/>
              </a:ln>
            </spPr>
          </dPt>
          <cat>
            <numRef>
              <f>'Waterfall'!$B$6:$B$17</f>
            </numRef>
          </cat>
          <val>
            <numRef>
              <f>'Waterfall'!$D$6:$D$17</f>
            </numRef>
          </val>
        </ser>
        <gapWidth val="4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Cost to Serve por canal (CLP/caja, sin COGS)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'Modelo'!E5</f>
            </strRef>
          </tx>
          <spPr>
            <a:solidFill xmlns:a="http://schemas.openxmlformats.org/drawingml/2006/main">
              <a:srgbClr val="00A9F4"/>
            </a:solidFill>
            <a:ln xmlns:a="http://schemas.openxmlformats.org/drawingml/2006/main">
              <a:prstDash val="solid"/>
            </a:ln>
          </spPr>
          <cat>
            <numRef>
              <f>'Modelo'!$B$6:$B$10</f>
            </numRef>
          </cat>
          <val>
            <numRef>
              <f>'Modelo'!$E$6:$E$10</f>
            </numRef>
          </val>
        </ser>
        <ser>
          <idx val="1"/>
          <order val="1"/>
          <tx>
            <strRef>
              <f>'Modelo'!F5</f>
            </strRef>
          </tx>
          <spPr>
            <a:solidFill xmlns:a="http://schemas.openxmlformats.org/drawingml/2006/main">
              <a:srgbClr val="2251FF"/>
            </a:solidFill>
            <a:ln xmlns:a="http://schemas.openxmlformats.org/drawingml/2006/main">
              <a:prstDash val="solid"/>
            </a:ln>
          </spPr>
          <cat>
            <numRef>
              <f>'Modelo'!$B$6:$B$10</f>
            </numRef>
          </cat>
          <val>
            <numRef>
              <f>'Modelo'!$F$6:$F$10</f>
            </numRef>
          </val>
        </ser>
        <ser>
          <idx val="2"/>
          <order val="2"/>
          <tx>
            <strRef>
              <f>'Modelo'!G5</f>
            </strRef>
          </tx>
          <spPr>
            <a:solidFill xmlns:a="http://schemas.openxmlformats.org/drawingml/2006/main">
              <a:srgbClr val="8C9BA5"/>
            </a:solidFill>
            <a:ln xmlns:a="http://schemas.openxmlformats.org/drawingml/2006/main">
              <a:prstDash val="solid"/>
            </a:ln>
          </spPr>
          <cat>
            <numRef>
              <f>'Modelo'!$B$6:$B$10</f>
            </numRef>
          </cat>
          <val>
            <numRef>
              <f>'Modelo'!$G$6:$G$10</f>
            </numRef>
          </val>
        </ser>
        <ser>
          <idx val="3"/>
          <order val="3"/>
          <tx>
            <strRef>
              <f>'Modelo'!H5</f>
            </strRef>
          </tx>
          <spPr>
            <a:solidFill xmlns:a="http://schemas.openxmlformats.org/drawingml/2006/main">
              <a:srgbClr val="051C2C"/>
            </a:solidFill>
            <a:ln xmlns:a="http://schemas.openxmlformats.org/drawingml/2006/main">
              <a:prstDash val="solid"/>
            </a:ln>
          </spPr>
          <cat>
            <numRef>
              <f>'Modelo'!$B$6:$B$10</f>
            </numRef>
          </cat>
          <val>
            <numRef>
              <f>'Modelo'!$H$6:$H$10</f>
            </numRef>
          </val>
        </ser>
        <ser>
          <idx val="4"/>
          <order val="4"/>
          <tx>
            <strRef>
              <f>'Modelo'!I5</f>
            </strRef>
          </tx>
          <spPr>
            <a:solidFill xmlns:a="http://schemas.openxmlformats.org/drawingml/2006/main">
              <a:srgbClr val="F5A623"/>
            </a:solidFill>
            <a:ln xmlns:a="http://schemas.openxmlformats.org/drawingml/2006/main">
              <a:prstDash val="solid"/>
            </a:ln>
          </spPr>
          <cat>
            <numRef>
              <f>'Modelo'!$B$6:$B$10</f>
            </numRef>
          </cat>
          <val>
            <numRef>
              <f>'Modelo'!$I$6:$I$10</f>
            </numRef>
          </val>
        </ser>
        <ser>
          <idx val="5"/>
          <order val="5"/>
          <tx>
            <strRef>
              <f>'Modelo'!J5</f>
            </strRef>
          </tx>
          <spPr>
            <a:solidFill xmlns:a="http://schemas.openxmlformats.org/drawingml/2006/main">
              <a:srgbClr val="AA63E0"/>
            </a:solidFill>
            <a:ln xmlns:a="http://schemas.openxmlformats.org/drawingml/2006/main">
              <a:prstDash val="solid"/>
            </a:ln>
          </spPr>
          <cat>
            <numRef>
              <f>'Modelo'!$B$6:$B$10</f>
            </numRef>
          </cat>
          <val>
            <numRef>
              <f>'Modelo'!$J$6:$J$10</f>
            </numRef>
          </val>
        </ser>
        <ser>
          <idx val="6"/>
          <order val="6"/>
          <tx>
            <strRef>
              <f>'Modelo'!K5</f>
            </strRef>
          </tx>
          <spPr>
            <a:solidFill xmlns:a="http://schemas.openxmlformats.org/drawingml/2006/main">
              <a:srgbClr val="E5546C"/>
            </a:solidFill>
            <a:ln xmlns:a="http://schemas.openxmlformats.org/drawingml/2006/main">
              <a:prstDash val="solid"/>
            </a:ln>
          </spPr>
          <cat>
            <numRef>
              <f>'Modelo'!$B$6:$B$10</f>
            </numRef>
          </cat>
          <val>
            <numRef>
              <f>'Modelo'!$K$6:$K$10</f>
            </numRef>
          </val>
        </ser>
        <ser>
          <idx val="7"/>
          <order val="7"/>
          <tx>
            <strRef>
              <f>'Modelo'!L5</f>
            </strRef>
          </tx>
          <spPr>
            <a:solidFill xmlns:a="http://schemas.openxmlformats.org/drawingml/2006/main">
              <a:srgbClr val="C5CED4"/>
            </a:solidFill>
            <a:ln xmlns:a="http://schemas.openxmlformats.org/drawingml/2006/main">
              <a:prstDash val="solid"/>
            </a:ln>
          </spPr>
          <cat>
            <numRef>
              <f>'Modelo'!$B$6:$B$10</f>
            </numRef>
          </cat>
          <val>
            <numRef>
              <f>'Modelo'!$L$6:$L$10</f>
            </numRef>
          </val>
        </ser>
        <gapWidth val="6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Margen neto por canal (% del precio neto)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'Modelo'!P5</f>
            </strRef>
          </tx>
          <spPr>
            <a:solidFill xmlns:a="http://schemas.openxmlformats.org/drawingml/2006/main">
              <a:srgbClr val="00B8A2"/>
            </a:solidFill>
            <a:ln xmlns:a="http://schemas.openxmlformats.org/drawingml/2006/main">
              <a:prstDash val="solid"/>
            </a:ln>
          </spPr>
          <cat>
            <numRef>
              <f>'Modelo'!$B$6:$B$10</f>
            </numRef>
          </cat>
          <val>
            <numRef>
              <f>'Modelo'!$P$6:$P$10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CTS total vs Margen por canal (CLP/caja)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'Modelo'!M5</f>
            </strRef>
          </tx>
          <spPr>
            <a:solidFill xmlns:a="http://schemas.openxmlformats.org/drawingml/2006/main">
              <a:srgbClr val="051C2C"/>
            </a:solidFill>
            <a:ln xmlns:a="http://schemas.openxmlformats.org/drawingml/2006/main">
              <a:prstDash val="solid"/>
            </a:ln>
          </spPr>
          <cat>
            <numRef>
              <f>'Modelo'!$B$6:$B$10</f>
            </numRef>
          </cat>
          <val>
            <numRef>
              <f>'Modelo'!$M$6:$M$10</f>
            </numRef>
          </val>
        </ser>
        <ser>
          <idx val="1"/>
          <order val="1"/>
          <tx>
            <strRef>
              <f>'Modelo'!O5</f>
            </strRef>
          </tx>
          <spPr>
            <a:solidFill xmlns:a="http://schemas.openxmlformats.org/drawingml/2006/main">
              <a:srgbClr val="00B8A2"/>
            </a:solidFill>
            <a:ln xmlns:a="http://schemas.openxmlformats.org/drawingml/2006/main">
              <a:prstDash val="solid"/>
            </a:ln>
          </spPr>
          <cat>
            <numRef>
              <f>'Modelo'!$B$6:$B$10</f>
            </numRef>
          </cat>
          <val>
            <numRef>
              <f>'Modelo'!$O$6:$O$10</f>
            </numRef>
          </val>
        </ser>
        <gapWidth val="8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Relationship Type="http://schemas.openxmlformats.org/officeDocument/2006/relationships/chart" Target="/xl/charts/chart4.xml" Id="rId3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93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3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3</row>
      <rowOff>0</rowOff>
    </from>
    <ext cx="504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24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10" customWidth="1" min="2" max="2"/>
  </cols>
  <sheetData>
    <row r="2">
      <c r="B2" s="1" t="inlineStr">
        <is>
          <t>COST TO SERVE — BEBIDAS · Modelo Excel</t>
        </is>
      </c>
    </row>
    <row r="3">
      <c r="B3" s="2" t="inlineStr"/>
    </row>
    <row r="4">
      <c r="B4" s="3" t="inlineStr">
        <is>
          <t>Cómo usarlo:</t>
        </is>
      </c>
    </row>
    <row r="5">
      <c r="B5" s="2" t="inlineStr">
        <is>
          <t>1. Hoja 'Inputs': llena las celdas amarillas (texto azul) con tus supuestos generales. Traen el caso demo precargado.</t>
        </is>
      </c>
    </row>
    <row r="6">
      <c r="B6" s="2" t="inlineStr">
        <is>
          <t>2. Hoja 'Canales': ajusta mix, drop size, descuento, DSO y merma de cada canal.</t>
        </is>
      </c>
    </row>
    <row r="7">
      <c r="B7" s="2" t="inlineStr">
        <is>
          <t>3. Hoja 'Modelo': P&amp;L por canal 100% en fórmulas — no editar (texto negro).</t>
        </is>
      </c>
    </row>
    <row r="8">
      <c r="B8" s="2" t="inlineStr">
        <is>
          <t>4. Hojas 'Waterfall' y 'Gráficos': se actualizan solos al cambiar cualquier input.</t>
        </is>
      </c>
    </row>
    <row r="9">
      <c r="B9" s="2" t="inlineStr"/>
    </row>
    <row r="10">
      <c r="B10" s="3" t="inlineStr">
        <is>
          <t>Fórmulas del modelo (metodología Activity-Based Costing):</t>
        </is>
      </c>
    </row>
    <row r="11">
      <c r="B11" s="2" t="inlineStr">
        <is>
          <t>· Almacenaje = (costo posición/mes ÷ cajas/pallet) × (DIO ÷ 30)</t>
        </is>
      </c>
    </row>
    <row r="12">
      <c r="B12" s="2" t="inlineStr">
        <is>
          <t>· Manipulación = costo base × factor drop size (1,8 si &lt;10 cajas; 1,2 si &lt;30; 0,7 pallet completo)</t>
        </is>
      </c>
    </row>
    <row r="13">
      <c r="B13" s="2" t="inlineStr">
        <is>
          <t>· Dist. secundaria = costo camión/día ÷ (entregas/día × drop size); ×0,55 si drop ≥100 (entrega dedicada)</t>
        </is>
      </c>
    </row>
    <row r="14">
      <c r="B14" s="2" t="inlineStr">
        <is>
          <t>· Comercial = (costo vendedor/día ÷ visitas/día) × intensidad ÷ drop size; e-commerce usa fee % de la venta</t>
        </is>
      </c>
    </row>
    <row r="15">
      <c r="B15" s="2" t="inlineStr">
        <is>
          <t>· Financiero = precio neto × WACC × (DIO + DSO) ÷ 365</t>
        </is>
      </c>
    </row>
    <row r="16">
      <c r="B16" s="2" t="inlineStr">
        <is>
          <t>· Mermas = precio neto × (merma base + merma del canal) · Overhead = precio neto × %</t>
        </is>
      </c>
    </row>
    <row r="17">
      <c r="B17" s="2" t="inlineStr">
        <is>
          <t>· Margen = precio neto − COGS − CTS total</t>
        </is>
      </c>
    </row>
    <row r="18">
      <c r="B18" s="2" t="inlineStr"/>
    </row>
    <row r="19">
      <c r="B19" s="4" t="inlineStr">
        <is>
          <t>Benchmarks: CTS total 8–18% de la venta · dist. secundaria 3–8% · tradicional 2–4x el canal moderno.</t>
        </is>
      </c>
    </row>
    <row r="20">
      <c r="B20" s="4" t="inlineStr">
        <is>
          <t>Fuente supuestos demo: estimaciones propias industria bebidas Chile 2026 (misma base que cost_to_serve.html).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2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4" customWidth="1" min="2" max="2"/>
    <col width="14" customWidth="1" min="3" max="3"/>
    <col width="10" customWidth="1" min="4" max="4"/>
    <col width="62" customWidth="1" min="5" max="5"/>
  </cols>
  <sheetData>
    <row r="2">
      <c r="B2" s="1" t="inlineStr">
        <is>
          <t>COST TO SERVE — BEBIDAS · Supuestos generales</t>
        </is>
      </c>
    </row>
    <row r="3">
      <c r="B3" s="4" t="inlineStr">
        <is>
          <t>Llena SOLO las celdas amarillas (texto azul). Todo lo demás se calcula solo. Valores precargados = caso demo embotelladora chilena.</t>
        </is>
      </c>
    </row>
    <row r="5">
      <c r="B5" s="5" t="inlineStr">
        <is>
          <t>Producto y precio</t>
        </is>
      </c>
      <c r="C5" s="6" t="n"/>
      <c r="D5" s="6" t="n"/>
      <c r="E5" s="6" t="n"/>
    </row>
    <row r="6">
      <c r="B6" s="2" t="inlineStr">
        <is>
          <t>Precio venta lista por caja</t>
        </is>
      </c>
      <c r="C6" s="7" t="n">
        <v>9500</v>
      </c>
      <c r="D6" s="4" t="inlineStr">
        <is>
          <t>CLP</t>
        </is>
      </c>
      <c r="E6" s="4" t="inlineStr">
        <is>
          <t>Precio de lista antes de descuentos. Caja estándar = 24 unidades / ~12 L.</t>
        </is>
      </c>
    </row>
    <row r="7">
      <c r="B7" s="2" t="inlineStr">
        <is>
          <t>Litros por caja</t>
        </is>
      </c>
      <c r="C7" s="7" t="n">
        <v>12</v>
      </c>
      <c r="D7" s="4" t="inlineStr">
        <is>
          <t>L</t>
        </is>
      </c>
      <c r="E7" s="4" t="inlineStr">
        <is>
          <t>Para expresar el CTS también en $/litro.</t>
        </is>
      </c>
    </row>
    <row r="8">
      <c r="B8" s="2" t="inlineStr">
        <is>
          <t>Costo de producción (COGS) por caja</t>
        </is>
      </c>
      <c r="C8" s="7" t="n">
        <v>4200</v>
      </c>
      <c r="D8" s="4" t="inlineStr">
        <is>
          <t>CLP</t>
        </is>
      </c>
      <c r="E8" s="4" t="inlineStr">
        <is>
          <t>Insumos + envase + MO + energía. Típico bebidas: 40–50% del precio.</t>
        </is>
      </c>
    </row>
    <row r="9">
      <c r="B9" s="2" t="inlineStr">
        <is>
          <t>Volumen mensual</t>
        </is>
      </c>
      <c r="C9" s="7" t="n">
        <v>400000</v>
      </c>
      <c r="D9" s="4" t="inlineStr">
        <is>
          <t>cajas</t>
        </is>
      </c>
      <c r="E9" s="4" t="inlineStr">
        <is>
          <t>Escala del negocio; referencia informativa.</t>
        </is>
      </c>
    </row>
    <row r="10">
      <c r="B10" s="5" t="inlineStr">
        <is>
          <t>Logística</t>
        </is>
      </c>
      <c r="C10" s="6" t="n"/>
      <c r="D10" s="6" t="n"/>
      <c r="E10" s="6" t="n"/>
    </row>
    <row r="11">
      <c r="B11" s="2" t="inlineStr">
        <is>
          <t>Costo bodega por posición pallet / mes</t>
        </is>
      </c>
      <c r="C11" s="7" t="n">
        <v>12000</v>
      </c>
      <c r="D11" s="4" t="inlineStr">
        <is>
          <t>CLP</t>
        </is>
      </c>
      <c r="E11" s="4" t="inlineStr">
        <is>
          <t>Arriendo + energía + personal ÷ posiciones. Chile: 8.000–15.000.</t>
        </is>
      </c>
    </row>
    <row r="12">
      <c r="B12" s="2" t="inlineStr">
        <is>
          <t>Cajas por pallet</t>
        </is>
      </c>
      <c r="C12" s="7" t="n">
        <v>60</v>
      </c>
      <c r="D12" s="4" t="inlineStr">
        <is>
          <t>cajas</t>
        </is>
      </c>
      <c r="E12" s="4" t="inlineStr">
        <is>
          <t>Bebidas: 50–70 según formato.</t>
        </is>
      </c>
    </row>
    <row r="13">
      <c r="B13" s="2" t="inlineStr">
        <is>
          <t>Días de inventario (DIO)</t>
        </is>
      </c>
      <c r="C13" s="7" t="n">
        <v>25</v>
      </c>
      <c r="D13" s="4" t="inlineStr">
        <is>
          <t>días</t>
        </is>
      </c>
      <c r="E13" s="4" t="inlineStr">
        <is>
          <t>Días promedio en bodega. Impacta almacenaje y costo financiero.</t>
        </is>
      </c>
    </row>
    <row r="14">
      <c r="B14" s="2" t="inlineStr">
        <is>
          <t>Costo manipulación por caja (base)</t>
        </is>
      </c>
      <c r="C14" s="7" t="n">
        <v>150</v>
      </c>
      <c r="D14" s="4" t="inlineStr">
        <is>
          <t>CLP</t>
        </is>
      </c>
      <c r="E14" s="4" t="inlineStr">
        <is>
          <t>Recepción + picking + carga. Se ajusta por drop size del canal.</t>
        </is>
      </c>
    </row>
    <row r="15">
      <c r="B15" s="2" t="inlineStr">
        <is>
          <t>Transporte primario por caja</t>
        </is>
      </c>
      <c r="C15" s="7" t="n">
        <v>250</v>
      </c>
      <c r="D15" s="4" t="inlineStr">
        <is>
          <t>CLP</t>
        </is>
      </c>
      <c r="E15" s="4" t="inlineStr">
        <is>
          <t>Planta → CD en camión completo. 0 si vendes desde planta.</t>
        </is>
      </c>
    </row>
    <row r="16">
      <c r="B16" s="2" t="inlineStr">
        <is>
          <t>Costo camión de reparto por día</t>
        </is>
      </c>
      <c r="C16" s="7" t="n">
        <v>220000</v>
      </c>
      <c r="D16" s="4" t="inlineStr">
        <is>
          <t>CLP</t>
        </is>
      </c>
      <c r="E16" s="4" t="inlineStr">
        <is>
          <t>Chofer + peoneta + combustible + depreciación. Chile: 180.000–280.000.</t>
        </is>
      </c>
    </row>
    <row r="17">
      <c r="B17" s="2" t="inlineStr">
        <is>
          <t>Entregas por camión por día</t>
        </is>
      </c>
      <c r="C17" s="7" t="n">
        <v>25</v>
      </c>
      <c r="D17" s="4" t="inlineStr">
        <is>
          <t>paradas</t>
        </is>
      </c>
      <c r="E17" s="4" t="inlineStr">
        <is>
          <t>Tradicional: 25–40; supermercados: 5–10.</t>
        </is>
      </c>
    </row>
    <row r="18">
      <c r="B18" s="5" t="inlineStr">
        <is>
          <t>Comercial y financiero</t>
        </is>
      </c>
      <c r="C18" s="6" t="n"/>
      <c r="D18" s="6" t="n"/>
      <c r="E18" s="6" t="n"/>
    </row>
    <row r="19">
      <c r="B19" s="2" t="inlineStr">
        <is>
          <t>Costo total vendedor / mes</t>
        </is>
      </c>
      <c r="C19" s="7" t="n">
        <v>1600000</v>
      </c>
      <c r="D19" s="4" t="inlineStr">
        <is>
          <t>CLP</t>
        </is>
      </c>
      <c r="E19" s="4" t="inlineStr">
        <is>
          <t>Sueldo + comisiones + vehículo + tecnología. Chile: 1,4–2,0 MM.</t>
        </is>
      </c>
    </row>
    <row r="20">
      <c r="B20" s="2" t="inlineStr">
        <is>
          <t>Días hábiles por mes</t>
        </is>
      </c>
      <c r="C20" s="7" t="n">
        <v>21</v>
      </c>
      <c r="D20" s="4" t="inlineStr">
        <is>
          <t>días</t>
        </is>
      </c>
      <c r="E20" s="4" t="inlineStr">
        <is>
          <t>Para llevar el costo del vendedor a costo por día.</t>
        </is>
      </c>
    </row>
    <row r="21">
      <c r="B21" s="2" t="inlineStr">
        <is>
          <t>Visitas por vendedor por día</t>
        </is>
      </c>
      <c r="C21" s="7" t="n">
        <v>30</v>
      </c>
      <c r="D21" s="4" t="inlineStr">
        <is>
          <t>visitas</t>
        </is>
      </c>
      <c r="E21" s="4" t="inlineStr">
        <is>
          <t>Preventa tradicional: 25–40. Cuentas clave: 3–6.</t>
        </is>
      </c>
    </row>
    <row r="22">
      <c r="B22" s="2" t="inlineStr">
        <is>
          <t>Costo de capital anual (WACC)</t>
        </is>
      </c>
      <c r="C22" s="8" t="n">
        <v>0.12</v>
      </c>
      <c r="D22" s="4" t="inlineStr">
        <is>
          <t>%</t>
        </is>
      </c>
      <c r="E22" s="4" t="inlineStr">
        <is>
          <t>Tasa para valorizar capital de trabajo (inventario + cuentas por cobrar).</t>
        </is>
      </c>
    </row>
    <row r="23">
      <c r="B23" s="2" t="inlineStr">
        <is>
          <t>Merma base sobre venta</t>
        </is>
      </c>
      <c r="C23" s="8" t="n">
        <v>0.01</v>
      </c>
      <c r="D23" s="4" t="inlineStr">
        <is>
          <t>%</t>
        </is>
      </c>
      <c r="E23" s="4" t="inlineStr">
        <is>
          <t>Vencimiento + rotura + robo. Bebidas: 0,5–2%. Cada canal suma ajuste propio.</t>
        </is>
      </c>
    </row>
    <row r="24">
      <c r="B24" s="2" t="inlineStr">
        <is>
          <t>Overhead logístico-comercial sobre venta</t>
        </is>
      </c>
      <c r="C24" s="8" t="n">
        <v>0.03</v>
      </c>
      <c r="D24" s="4" t="inlineStr">
        <is>
          <t>%</t>
        </is>
      </c>
      <c r="E24" s="4" t="inlineStr">
        <is>
          <t>Planificación, TI, back-office supply chain y order-to-cash.</t>
        </is>
      </c>
    </row>
    <row r="25">
      <c r="B25" s="2" t="inlineStr">
        <is>
          <t>Fee plataforma e-commerce sobre venta</t>
        </is>
      </c>
      <c r="C25" s="8" t="n">
        <v>0.02</v>
      </c>
      <c r="D25" s="4" t="inlineStr">
        <is>
          <t>%</t>
        </is>
      </c>
      <c r="E25" s="4" t="inlineStr">
        <is>
          <t>Comisión marketplace / pasarela; reemplaza al vendedor en canal e-commerce.</t>
        </is>
      </c>
    </row>
    <row r="27">
      <c r="B27" s="4" t="inlineStr">
        <is>
          <t>Leyenda: fondo amarillo + texto azul = input editable · texto negro = fórmula · verde = trae dato de otra hoja.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1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0" customWidth="1" min="3" max="3"/>
    <col width="14" customWidth="1" min="4" max="4"/>
    <col width="12" customWidth="1" min="5" max="5"/>
    <col width="13" customWidth="1" min="6" max="6"/>
    <col width="11" customWidth="1" min="7" max="7"/>
    <col width="12" customWidth="1" min="8" max="8"/>
    <col width="14" customWidth="1" min="9" max="9"/>
    <col width="60" customWidth="1" min="10" max="10"/>
  </cols>
  <sheetData>
    <row r="2">
      <c r="B2" s="1" t="inlineStr">
        <is>
          <t>Canales de venta</t>
        </is>
      </c>
    </row>
    <row r="3">
      <c r="B3" s="4" t="inlineStr">
        <is>
          <t>Aquí vive la diferencia real del CTS. Llena las celdas amarillas por canal; el mix se normaliza solo en la hoja Modelo.</t>
        </is>
      </c>
    </row>
    <row r="5">
      <c r="B5" s="9" t="inlineStr">
        <is>
          <t>Canal</t>
        </is>
      </c>
      <c r="C5" s="9" t="inlineStr">
        <is>
          <t>Mix %</t>
        </is>
      </c>
      <c r="D5" s="9" t="inlineStr">
        <is>
          <t>Drop size (cajas/entrega)</t>
        </is>
      </c>
      <c r="E5" s="9" t="inlineStr">
        <is>
          <t>Pedidos / mes</t>
        </is>
      </c>
      <c r="F5" s="9" t="inlineStr">
        <is>
          <t>Descuento %</t>
        </is>
      </c>
      <c r="G5" s="9" t="inlineStr">
        <is>
          <t>DSO (días)</t>
        </is>
      </c>
      <c r="H5" s="9" t="inlineStr">
        <is>
          <t>Merma adic. %</t>
        </is>
      </c>
      <c r="I5" s="9" t="inlineStr">
        <is>
          <t>Intensidad visita (0–1)</t>
        </is>
      </c>
      <c r="J5" s="9" t="inlineStr">
        <is>
          <t>Comentario</t>
        </is>
      </c>
    </row>
    <row r="6">
      <c r="B6" s="10" t="inlineStr">
        <is>
          <t>Supermercados</t>
        </is>
      </c>
      <c r="C6" s="8" t="n">
        <v>0.35</v>
      </c>
      <c r="D6" s="7" t="n">
        <v>120</v>
      </c>
      <c r="E6" s="7" t="n">
        <v>8</v>
      </c>
      <c r="F6" s="8" t="n">
        <v>0.18</v>
      </c>
      <c r="G6" s="7" t="n">
        <v>60</v>
      </c>
      <c r="H6" s="8" t="n">
        <v>0.003</v>
      </c>
      <c r="I6" s="11" t="n">
        <v>0.15</v>
      </c>
      <c r="J6" s="12" t="inlineStr">
        <is>
          <t>Pallets completos, pocas entregas; descuentos altos y pagan a 60 días.</t>
        </is>
      </c>
    </row>
    <row r="7">
      <c r="B7" s="10" t="inlineStr">
        <is>
          <t>Mayoristas</t>
        </is>
      </c>
      <c r="C7" s="8" t="n">
        <v>0.2</v>
      </c>
      <c r="D7" s="7" t="n">
        <v>200</v>
      </c>
      <c r="E7" s="7" t="n">
        <v>4</v>
      </c>
      <c r="F7" s="8" t="n">
        <v>0.14</v>
      </c>
      <c r="G7" s="7" t="n">
        <v>30</v>
      </c>
      <c r="H7" s="8" t="n">
        <v>0.002</v>
      </c>
      <c r="I7" s="11" t="n">
        <v>0.1</v>
      </c>
      <c r="J7" s="12" t="inlineStr">
        <is>
          <t>Drop size gigante, muy barato de servir; margen unitario bajo.</t>
        </is>
      </c>
    </row>
    <row r="8">
      <c r="B8" s="10" t="inlineStr">
        <is>
          <t>Tradicional (almacenes)</t>
        </is>
      </c>
      <c r="C8" s="8" t="n">
        <v>0.3</v>
      </c>
      <c r="D8" s="7" t="n">
        <v>8</v>
      </c>
      <c r="E8" s="7" t="n">
        <v>4</v>
      </c>
      <c r="F8" s="8" t="n">
        <v>0.05</v>
      </c>
      <c r="G8" s="7" t="n">
        <v>0</v>
      </c>
      <c r="H8" s="8" t="n">
        <v>0.01</v>
      </c>
      <c r="I8" s="11" t="n">
        <v>1</v>
      </c>
      <c r="J8" s="12" t="inlineStr">
        <is>
          <t>Pedidos chicos, muchas visitas: CTS más alto, pero paga contado.</t>
        </is>
      </c>
    </row>
    <row r="9">
      <c r="B9" s="10" t="inlineStr">
        <is>
          <t>HoReCa (bares/restaurantes)</t>
        </is>
      </c>
      <c r="C9" s="8" t="n">
        <v>0.1</v>
      </c>
      <c r="D9" s="7" t="n">
        <v>15</v>
      </c>
      <c r="E9" s="7" t="n">
        <v>4</v>
      </c>
      <c r="F9" s="8" t="n">
        <v>0.08</v>
      </c>
      <c r="G9" s="7" t="n">
        <v>30</v>
      </c>
      <c r="H9" s="8" t="n">
        <v>0.015</v>
      </c>
      <c r="I9" s="11" t="n">
        <v>0.8</v>
      </c>
      <c r="J9" s="12" t="inlineStr">
        <is>
          <t>Ventana horaria, retornable, crédito 30 días.</t>
        </is>
      </c>
    </row>
    <row r="10">
      <c r="B10" s="10" t="inlineStr">
        <is>
          <t>E-commerce / D2C</t>
        </is>
      </c>
      <c r="C10" s="8" t="n">
        <v>0.05</v>
      </c>
      <c r="D10" s="7" t="n">
        <v>2</v>
      </c>
      <c r="E10" s="7" t="n">
        <v>30</v>
      </c>
      <c r="F10" s="8" t="n">
        <v>0</v>
      </c>
      <c r="G10" s="7" t="n">
        <v>0</v>
      </c>
      <c r="H10" s="8" t="n">
        <v>0.02</v>
      </c>
      <c r="I10" s="11" t="n">
        <v>0</v>
      </c>
      <c r="J10" s="12" t="inlineStr">
        <is>
          <t>Sin vendedor (intensidad 0 → usa fee plataforma); picking unitario carísimo.</t>
        </is>
      </c>
    </row>
    <row r="12">
      <c r="B12" s="4" t="inlineStr">
        <is>
          <t>Intensidad de visita: 1 = preventa completa (tradicional); 0,15 = key account con pocas visitas; 0 = sin fuerza de venta (e-commerce).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Q1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0" customWidth="1" min="14" max="14"/>
    <col width="12" customWidth="1" min="15" max="15"/>
    <col width="10" customWidth="1" min="16" max="16"/>
    <col width="10" customWidth="1" min="17" max="17"/>
  </cols>
  <sheetData>
    <row r="2">
      <c r="B2" s="1" t="inlineStr">
        <is>
          <t>Motor de cálculo — CTS por canal (CLP/caja)</t>
        </is>
      </c>
    </row>
    <row r="3">
      <c r="B3" s="4" t="inlineStr">
        <is>
          <t>Todo son fórmulas: cambia Inputs o Canales y este P&amp;L se recalcula. Fórmulas idénticas al modelo web (ABC).</t>
        </is>
      </c>
    </row>
    <row r="5">
      <c r="B5" s="9" t="inlineStr">
        <is>
          <t>Canal</t>
        </is>
      </c>
      <c r="C5" s="9" t="inlineStr">
        <is>
          <t>Mix normalizado</t>
        </is>
      </c>
      <c r="D5" s="9" t="inlineStr">
        <is>
          <t>Precio neto</t>
        </is>
      </c>
      <c r="E5" s="9" t="inlineStr">
        <is>
          <t>Almacenaje</t>
        </is>
      </c>
      <c r="F5" s="9" t="inlineStr">
        <is>
          <t>Manipulación</t>
        </is>
      </c>
      <c r="G5" s="9" t="inlineStr">
        <is>
          <t>Transp. primario</t>
        </is>
      </c>
      <c r="H5" s="9" t="inlineStr">
        <is>
          <t>Dist. secundaria</t>
        </is>
      </c>
      <c r="I5" s="9" t="inlineStr">
        <is>
          <t>Comercial</t>
        </is>
      </c>
      <c r="J5" s="9" t="inlineStr">
        <is>
          <t>Financiero</t>
        </is>
      </c>
      <c r="K5" s="9" t="inlineStr">
        <is>
          <t>Mermas</t>
        </is>
      </c>
      <c r="L5" s="9" t="inlineStr">
        <is>
          <t>Overhead</t>
        </is>
      </c>
      <c r="M5" s="9" t="inlineStr">
        <is>
          <t>CTS total</t>
        </is>
      </c>
      <c r="N5" s="9" t="inlineStr">
        <is>
          <t>CTS % venta</t>
        </is>
      </c>
      <c r="O5" s="9" t="inlineStr">
        <is>
          <t>Margen / caja</t>
        </is>
      </c>
      <c r="P5" s="9" t="inlineStr">
        <is>
          <t>Margen %</t>
        </is>
      </c>
      <c r="Q5" s="9" t="inlineStr">
        <is>
          <t>CTS / litro</t>
        </is>
      </c>
    </row>
    <row r="6">
      <c r="B6" s="13">
        <f>Canales!B6</f>
        <v/>
      </c>
      <c r="C6" s="14">
        <f>Canales!$C$6/SUM(Canales!$C$6:$C$10)</f>
        <v/>
      </c>
      <c r="D6" s="15">
        <f>Inputs!$C$6*(1-Canales!$F$6)</f>
        <v/>
      </c>
      <c r="E6" s="15">
        <f>(Inputs!$C$11/Inputs!$C$12)*(Inputs!$C$13/30)</f>
        <v/>
      </c>
      <c r="F6" s="15">
        <f>Inputs!$C$14*IF(Canales!$D$6&lt;10,1.8,IF(Canales!$D$6&lt;30,1.2,0.7))</f>
        <v/>
      </c>
      <c r="G6" s="15">
        <f>Inputs!$C$15</f>
        <v/>
      </c>
      <c r="H6" s="15">
        <f>Inputs!$C$16/(Inputs!$C$17*Canales!$D$6)*IF(Canales!$D$6&gt;=100,0.55,1)</f>
        <v/>
      </c>
      <c r="I6" s="15">
        <f>IF(Canales!$I$6&gt;0,((Inputs!$C$19/Inputs!$C$20)/Inputs!$C$21)*Canales!$I$6/Canales!$D$6,D6*Inputs!$C$25)</f>
        <v/>
      </c>
      <c r="J6" s="15">
        <f>D6*Inputs!$C$22*(Inputs!$C$13+Canales!$G$6)/365</f>
        <v/>
      </c>
      <c r="K6" s="15">
        <f>D6*(Inputs!$C$23+Canales!$H$6)</f>
        <v/>
      </c>
      <c r="L6" s="15">
        <f>D6*Inputs!$C$24</f>
        <v/>
      </c>
      <c r="M6" s="15">
        <f>SUM(E6:L6)</f>
        <v/>
      </c>
      <c r="N6" s="14">
        <f>M6/D6</f>
        <v/>
      </c>
      <c r="O6" s="15">
        <f>D6-Inputs!$C$8-M6</f>
        <v/>
      </c>
      <c r="P6" s="14">
        <f>O6/D6</f>
        <v/>
      </c>
      <c r="Q6" s="15">
        <f>M6/Inputs!$C$7</f>
        <v/>
      </c>
    </row>
    <row r="7">
      <c r="B7" s="13">
        <f>Canales!B7</f>
        <v/>
      </c>
      <c r="C7" s="14">
        <f>Canales!$C$7/SUM(Canales!$C$6:$C$10)</f>
        <v/>
      </c>
      <c r="D7" s="15">
        <f>Inputs!$C$6*(1-Canales!$F$7)</f>
        <v/>
      </c>
      <c r="E7" s="15">
        <f>(Inputs!$C$11/Inputs!$C$12)*(Inputs!$C$13/30)</f>
        <v/>
      </c>
      <c r="F7" s="15">
        <f>Inputs!$C$14*IF(Canales!$D$7&lt;10,1.8,IF(Canales!$D$7&lt;30,1.2,0.7))</f>
        <v/>
      </c>
      <c r="G7" s="15">
        <f>Inputs!$C$15</f>
        <v/>
      </c>
      <c r="H7" s="15">
        <f>Inputs!$C$16/(Inputs!$C$17*Canales!$D$7)*IF(Canales!$D$7&gt;=100,0.55,1)</f>
        <v/>
      </c>
      <c r="I7" s="15">
        <f>IF(Canales!$I$7&gt;0,((Inputs!$C$19/Inputs!$C$20)/Inputs!$C$21)*Canales!$I$7/Canales!$D$7,D7*Inputs!$C$25)</f>
        <v/>
      </c>
      <c r="J7" s="15">
        <f>D7*Inputs!$C$22*(Inputs!$C$13+Canales!$G$7)/365</f>
        <v/>
      </c>
      <c r="K7" s="15">
        <f>D7*(Inputs!$C$23+Canales!$H$7)</f>
        <v/>
      </c>
      <c r="L7" s="15">
        <f>D7*Inputs!$C$24</f>
        <v/>
      </c>
      <c r="M7" s="15">
        <f>SUM(E7:L7)</f>
        <v/>
      </c>
      <c r="N7" s="14">
        <f>M7/D7</f>
        <v/>
      </c>
      <c r="O7" s="15">
        <f>D7-Inputs!$C$8-M7</f>
        <v/>
      </c>
      <c r="P7" s="14">
        <f>O7/D7</f>
        <v/>
      </c>
      <c r="Q7" s="15">
        <f>M7/Inputs!$C$7</f>
        <v/>
      </c>
    </row>
    <row r="8">
      <c r="B8" s="13">
        <f>Canales!B8</f>
        <v/>
      </c>
      <c r="C8" s="14">
        <f>Canales!$C$8/SUM(Canales!$C$6:$C$10)</f>
        <v/>
      </c>
      <c r="D8" s="15">
        <f>Inputs!$C$6*(1-Canales!$F$8)</f>
        <v/>
      </c>
      <c r="E8" s="15">
        <f>(Inputs!$C$11/Inputs!$C$12)*(Inputs!$C$13/30)</f>
        <v/>
      </c>
      <c r="F8" s="15">
        <f>Inputs!$C$14*IF(Canales!$D$8&lt;10,1.8,IF(Canales!$D$8&lt;30,1.2,0.7))</f>
        <v/>
      </c>
      <c r="G8" s="15">
        <f>Inputs!$C$15</f>
        <v/>
      </c>
      <c r="H8" s="15">
        <f>Inputs!$C$16/(Inputs!$C$17*Canales!$D$8)*IF(Canales!$D$8&gt;=100,0.55,1)</f>
        <v/>
      </c>
      <c r="I8" s="15">
        <f>IF(Canales!$I$8&gt;0,((Inputs!$C$19/Inputs!$C$20)/Inputs!$C$21)*Canales!$I$8/Canales!$D$8,D8*Inputs!$C$25)</f>
        <v/>
      </c>
      <c r="J8" s="15">
        <f>D8*Inputs!$C$22*(Inputs!$C$13+Canales!$G$8)/365</f>
        <v/>
      </c>
      <c r="K8" s="15">
        <f>D8*(Inputs!$C$23+Canales!$H$8)</f>
        <v/>
      </c>
      <c r="L8" s="15">
        <f>D8*Inputs!$C$24</f>
        <v/>
      </c>
      <c r="M8" s="15">
        <f>SUM(E8:L8)</f>
        <v/>
      </c>
      <c r="N8" s="14">
        <f>M8/D8</f>
        <v/>
      </c>
      <c r="O8" s="15">
        <f>D8-Inputs!$C$8-M8</f>
        <v/>
      </c>
      <c r="P8" s="14">
        <f>O8/D8</f>
        <v/>
      </c>
      <c r="Q8" s="15">
        <f>M8/Inputs!$C$7</f>
        <v/>
      </c>
    </row>
    <row r="9">
      <c r="B9" s="13">
        <f>Canales!B9</f>
        <v/>
      </c>
      <c r="C9" s="14">
        <f>Canales!$C$9/SUM(Canales!$C$6:$C$10)</f>
        <v/>
      </c>
      <c r="D9" s="15">
        <f>Inputs!$C$6*(1-Canales!$F$9)</f>
        <v/>
      </c>
      <c r="E9" s="15">
        <f>(Inputs!$C$11/Inputs!$C$12)*(Inputs!$C$13/30)</f>
        <v/>
      </c>
      <c r="F9" s="15">
        <f>Inputs!$C$14*IF(Canales!$D$9&lt;10,1.8,IF(Canales!$D$9&lt;30,1.2,0.7))</f>
        <v/>
      </c>
      <c r="G9" s="15">
        <f>Inputs!$C$15</f>
        <v/>
      </c>
      <c r="H9" s="15">
        <f>Inputs!$C$16/(Inputs!$C$17*Canales!$D$9)*IF(Canales!$D$9&gt;=100,0.55,1)</f>
        <v/>
      </c>
      <c r="I9" s="15">
        <f>IF(Canales!$I$9&gt;0,((Inputs!$C$19/Inputs!$C$20)/Inputs!$C$21)*Canales!$I$9/Canales!$D$9,D9*Inputs!$C$25)</f>
        <v/>
      </c>
      <c r="J9" s="15">
        <f>D9*Inputs!$C$22*(Inputs!$C$13+Canales!$G$9)/365</f>
        <v/>
      </c>
      <c r="K9" s="15">
        <f>D9*(Inputs!$C$23+Canales!$H$9)</f>
        <v/>
      </c>
      <c r="L9" s="15">
        <f>D9*Inputs!$C$24</f>
        <v/>
      </c>
      <c r="M9" s="15">
        <f>SUM(E9:L9)</f>
        <v/>
      </c>
      <c r="N9" s="14">
        <f>M9/D9</f>
        <v/>
      </c>
      <c r="O9" s="15">
        <f>D9-Inputs!$C$8-M9</f>
        <v/>
      </c>
      <c r="P9" s="14">
        <f>O9/D9</f>
        <v/>
      </c>
      <c r="Q9" s="15">
        <f>M9/Inputs!$C$7</f>
        <v/>
      </c>
    </row>
    <row r="10">
      <c r="B10" s="13">
        <f>Canales!B10</f>
        <v/>
      </c>
      <c r="C10" s="14">
        <f>Canales!$C$10/SUM(Canales!$C$6:$C$10)</f>
        <v/>
      </c>
      <c r="D10" s="15">
        <f>Inputs!$C$6*(1-Canales!$F$10)</f>
        <v/>
      </c>
      <c r="E10" s="15">
        <f>(Inputs!$C$11/Inputs!$C$12)*(Inputs!$C$13/30)</f>
        <v/>
      </c>
      <c r="F10" s="15">
        <f>Inputs!$C$14*IF(Canales!$D$10&lt;10,1.8,IF(Canales!$D$10&lt;30,1.2,0.7))</f>
        <v/>
      </c>
      <c r="G10" s="15">
        <f>Inputs!$C$15</f>
        <v/>
      </c>
      <c r="H10" s="15">
        <f>Inputs!$C$16/(Inputs!$C$17*Canales!$D$10)*IF(Canales!$D$10&gt;=100,0.55,1)</f>
        <v/>
      </c>
      <c r="I10" s="15">
        <f>IF(Canales!$I$10&gt;0,((Inputs!$C$19/Inputs!$C$20)/Inputs!$C$21)*Canales!$I$10/Canales!$D$10,D10*Inputs!$C$25)</f>
        <v/>
      </c>
      <c r="J10" s="15">
        <f>D10*Inputs!$C$22*(Inputs!$C$13+Canales!$G$10)/365</f>
        <v/>
      </c>
      <c r="K10" s="15">
        <f>D10*(Inputs!$C$23+Canales!$H$10)</f>
        <v/>
      </c>
      <c r="L10" s="15">
        <f>D10*Inputs!$C$24</f>
        <v/>
      </c>
      <c r="M10" s="15">
        <f>SUM(E10:L10)</f>
        <v/>
      </c>
      <c r="N10" s="14">
        <f>M10/D10</f>
        <v/>
      </c>
      <c r="O10" s="15">
        <f>D10-Inputs!$C$8-M10</f>
        <v/>
      </c>
      <c r="P10" s="14">
        <f>O10/D10</f>
        <v/>
      </c>
      <c r="Q10" s="15">
        <f>M10/Inputs!$C$7</f>
        <v/>
      </c>
    </row>
    <row r="11">
      <c r="B11" s="16" t="inlineStr">
        <is>
          <t>Promedio ponderado</t>
        </is>
      </c>
      <c r="C11" s="17">
        <f>SUM(C6:C10)</f>
        <v/>
      </c>
      <c r="D11" s="18">
        <f>SUMPRODUCT($C$6:$C$10,D6:D10)</f>
        <v/>
      </c>
      <c r="E11" s="18">
        <f>SUMPRODUCT($C$6:$C$10,E6:E10)</f>
        <v/>
      </c>
      <c r="F11" s="18">
        <f>SUMPRODUCT($C$6:$C$10,F6:F10)</f>
        <v/>
      </c>
      <c r="G11" s="18">
        <f>SUMPRODUCT($C$6:$C$10,G6:G10)</f>
        <v/>
      </c>
      <c r="H11" s="18">
        <f>SUMPRODUCT($C$6:$C$10,H6:H10)</f>
        <v/>
      </c>
      <c r="I11" s="18">
        <f>SUMPRODUCT($C$6:$C$10,I6:I10)</f>
        <v/>
      </c>
      <c r="J11" s="18">
        <f>SUMPRODUCT($C$6:$C$10,J6:J10)</f>
        <v/>
      </c>
      <c r="K11" s="18">
        <f>SUMPRODUCT($C$6:$C$10,K6:K10)</f>
        <v/>
      </c>
      <c r="L11" s="18">
        <f>SUMPRODUCT($C$6:$C$10,L6:L10)</f>
        <v/>
      </c>
      <c r="M11" s="18">
        <f>SUMPRODUCT($C$6:$C$10,M6:M10)</f>
        <v/>
      </c>
      <c r="N11" s="17">
        <f>SUMPRODUCT($C$6:$C$10,N6:N10)</f>
        <v/>
      </c>
      <c r="O11" s="18">
        <f>SUMPRODUCT($C$6:$C$10,O6:O10)</f>
        <v/>
      </c>
      <c r="P11" s="17">
        <f>SUMPRODUCT($C$6:$C$10,P6:P10)</f>
        <v/>
      </c>
      <c r="Q11" s="18">
        <f>SUMPRODUCT($C$6:$C$10,Q6:Q10)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D1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12" customWidth="1" min="3" max="3"/>
    <col width="12" customWidth="1" min="4" max="4"/>
  </cols>
  <sheetData>
    <row r="2">
      <c r="B2" s="1" t="inlineStr">
        <is>
          <t>Waterfall: precio lista → margen neto (promedio ponderado)</t>
        </is>
      </c>
    </row>
    <row r="3">
      <c r="B3" s="4" t="inlineStr">
        <is>
          <t>Tabla auxiliar para el gráfico. Base = columna invisible; Valor = tramo visible.</t>
        </is>
      </c>
    </row>
    <row r="5">
      <c r="B5" s="19" t="inlineStr">
        <is>
          <t>Concepto</t>
        </is>
      </c>
      <c r="C5" s="19" t="inlineStr">
        <is>
          <t>Base</t>
        </is>
      </c>
      <c r="D5" s="19" t="inlineStr">
        <is>
          <t>Valor</t>
        </is>
      </c>
    </row>
    <row r="6">
      <c r="B6" s="2" t="inlineStr">
        <is>
          <t>Precio lista</t>
        </is>
      </c>
      <c r="C6" s="15" t="inlineStr">
        <is>
          <t>0</t>
        </is>
      </c>
      <c r="D6" s="15">
        <f>Inputs!$C$6</f>
        <v/>
      </c>
    </row>
    <row r="7">
      <c r="B7" s="2" t="inlineStr">
        <is>
          <t>Descuentos</t>
        </is>
      </c>
      <c r="C7" s="15">
        <f>C6</f>
        <v/>
      </c>
      <c r="D7" s="15">
        <f>Inputs!$C$6-Modelo!D11</f>
        <v/>
      </c>
    </row>
    <row r="8">
      <c r="B8" s="2" t="inlineStr">
        <is>
          <t>COGS</t>
        </is>
      </c>
      <c r="C8" s="15">
        <f>C7-D8</f>
        <v/>
      </c>
      <c r="D8" s="15">
        <f>Inputs!$C$8</f>
        <v/>
      </c>
    </row>
    <row r="9">
      <c r="B9" s="2" t="inlineStr">
        <is>
          <t>Almacenaje</t>
        </is>
      </c>
      <c r="C9" s="15">
        <f>C8-D9</f>
        <v/>
      </c>
      <c r="D9" s="15">
        <f>Modelo!E11</f>
        <v/>
      </c>
    </row>
    <row r="10">
      <c r="B10" s="2" t="inlineStr">
        <is>
          <t>Manipulación</t>
        </is>
      </c>
      <c r="C10" s="15">
        <f>C9-D10</f>
        <v/>
      </c>
      <c r="D10" s="15">
        <f>Modelo!F11</f>
        <v/>
      </c>
    </row>
    <row r="11">
      <c r="B11" s="2" t="inlineStr">
        <is>
          <t>Transp. primario</t>
        </is>
      </c>
      <c r="C11" s="15">
        <f>C10-D11</f>
        <v/>
      </c>
      <c r="D11" s="15">
        <f>Modelo!G11</f>
        <v/>
      </c>
    </row>
    <row r="12">
      <c r="B12" s="2" t="inlineStr">
        <is>
          <t>Dist. secundaria</t>
        </is>
      </c>
      <c r="C12" s="15">
        <f>C11-D12</f>
        <v/>
      </c>
      <c r="D12" s="15">
        <f>Modelo!H11</f>
        <v/>
      </c>
    </row>
    <row r="13">
      <c r="B13" s="2" t="inlineStr">
        <is>
          <t>Comercial</t>
        </is>
      </c>
      <c r="C13" s="15">
        <f>C12-D13</f>
        <v/>
      </c>
      <c r="D13" s="15">
        <f>Modelo!I11</f>
        <v/>
      </c>
    </row>
    <row r="14">
      <c r="B14" s="2" t="inlineStr">
        <is>
          <t>Financiero</t>
        </is>
      </c>
      <c r="C14" s="15">
        <f>C13-D14</f>
        <v/>
      </c>
      <c r="D14" s="15">
        <f>Modelo!J11</f>
        <v/>
      </c>
    </row>
    <row r="15">
      <c r="B15" s="2" t="inlineStr">
        <is>
          <t>Mermas</t>
        </is>
      </c>
      <c r="C15" s="15">
        <f>C14-D15</f>
        <v/>
      </c>
      <c r="D15" s="15">
        <f>Modelo!K11</f>
        <v/>
      </c>
    </row>
    <row r="16">
      <c r="B16" s="2" t="inlineStr">
        <is>
          <t>Overhead</t>
        </is>
      </c>
      <c r="C16" s="15">
        <f>C15-D16</f>
        <v/>
      </c>
      <c r="D16" s="15">
        <f>Modelo!L11</f>
        <v/>
      </c>
    </row>
    <row r="17">
      <c r="B17" s="2" t="inlineStr">
        <is>
          <t>Margen neto</t>
        </is>
      </c>
      <c r="C17" s="15" t="inlineStr">
        <is>
          <t>0</t>
        </is>
      </c>
      <c r="D17" s="15">
        <f>Modelo!O11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B2"/>
  <sheetViews>
    <sheetView showGridLines="0" workbookViewId="0">
      <selection activeCell="A1" sqref="A1"/>
    </sheetView>
  </sheetViews>
  <sheetFormatPr baseColWidth="8" defaultRowHeight="15"/>
  <sheetData>
    <row r="2">
      <c r="B2" s="1" t="inlineStr">
        <is>
          <t>Gráficos por canal (se actualizan solos)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2026-07-24T12:24:26Z</dcterms:created>
  <dcterms:modified xmlns:dcterms="http://purl.org/dc/terms/" xmlns:xsi="http://www.w3.org/2001/XMLSchema-instance" xsi:type="dcterms:W3CDTF">2026-07-24T12:24:26Z</dcterms:modified>
</cp:coreProperties>
</file>